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7480" windowHeight="1460"/>
  </bookViews>
  <sheets>
    <sheet name="Business" sheetId="1" r:id="rId1"/>
  </sheets>
  <definedNames>
    <definedName name="_xlnm._FilterDatabase" localSheetId="0" hidden="1">Business!$D$3:$V$23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G23" i="1"/>
  <c r="D2" i="1"/>
</calcChain>
</file>

<file path=xl/sharedStrings.xml><?xml version="1.0" encoding="utf-8"?>
<sst xmlns="http://schemas.openxmlformats.org/spreadsheetml/2006/main" count="76" uniqueCount="42">
  <si>
    <t xml:space="preserve">name </t>
  </si>
  <si>
    <t>sector</t>
  </si>
  <si>
    <t>item</t>
  </si>
  <si>
    <t>items needed</t>
  </si>
  <si>
    <t>comments</t>
  </si>
  <si>
    <t>B2B</t>
  </si>
  <si>
    <t>SAGIA License</t>
  </si>
  <si>
    <t>Baladyah License</t>
  </si>
  <si>
    <t>Eng. License</t>
  </si>
  <si>
    <t>duration/Y</t>
  </si>
  <si>
    <t xml:space="preserve">Base </t>
  </si>
  <si>
    <t>ARAMCO certificate</t>
  </si>
  <si>
    <t>Cost</t>
  </si>
  <si>
    <t>wasil</t>
  </si>
  <si>
    <t xml:space="preserve">B2B </t>
  </si>
  <si>
    <t>Bank account</t>
  </si>
  <si>
    <t>CR</t>
  </si>
  <si>
    <t>GOSI</t>
  </si>
  <si>
    <t>Chamber of Commerce</t>
  </si>
  <si>
    <t>Industrial License</t>
  </si>
  <si>
    <t xml:space="preserve"> code</t>
  </si>
  <si>
    <t>Gov</t>
  </si>
  <si>
    <t>GOV</t>
  </si>
  <si>
    <t>Post office</t>
  </si>
  <si>
    <t xml:space="preserve">Total items needed </t>
  </si>
  <si>
    <t>Avail</t>
  </si>
  <si>
    <t>wesite hosting</t>
  </si>
  <si>
    <t>email hosting</t>
  </si>
  <si>
    <t>CR and chamber</t>
  </si>
  <si>
    <t>Document numbers</t>
  </si>
  <si>
    <t>Ch</t>
  </si>
  <si>
    <t xml:space="preserve">comp. </t>
  </si>
  <si>
    <t>dates</t>
  </si>
  <si>
    <t>Expire</t>
  </si>
  <si>
    <t xml:space="preserve">remaining </t>
  </si>
  <si>
    <t>Agency number</t>
  </si>
  <si>
    <t>Eng. Acredetation</t>
  </si>
  <si>
    <t>Labor office file</t>
  </si>
  <si>
    <t xml:space="preserve">salamah </t>
  </si>
  <si>
    <t>office space contract</t>
  </si>
  <si>
    <t>Zakat/ Vat</t>
  </si>
  <si>
    <t>Zedan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</si>
</sst>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13" xfId="0" applyFont="1" applyBorder="1"/>
    <xf numFmtId="3" fontId="1" fillId="0" borderId="13" xfId="0" applyNumberFormat="1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3"/>
  <sheetViews>
    <sheetView tabSelected="1" zoomScaleNormal="100" workbookViewId="0">
      <pane ySplit="3" topLeftCell="A4" activePane="bottomLeft" state="frozen"/>
      <selection pane="bottomLeft" activeCell="K28" sqref="K28"/>
    </sheetView>
  </sheetViews>
  <sheetFormatPr defaultColWidth="9.1796875" defaultRowHeight="18.5" x14ac:dyDescent="0.45"/>
  <cols>
    <col min="1" max="1" width="4.453125" style="1" customWidth="1"/>
    <col min="2" max="2" width="2.81640625" style="1" customWidth="1"/>
    <col min="3" max="3" width="2.6328125" style="1" bestFit="1" customWidth="1"/>
    <col min="4" max="4" width="15.1796875" style="1" bestFit="1" customWidth="1"/>
    <col min="5" max="5" width="11.81640625" style="1" bestFit="1" customWidth="1"/>
    <col min="6" max="6" width="13" style="1" bestFit="1" customWidth="1"/>
    <col min="7" max="7" width="11.453125" style="1" bestFit="1" customWidth="1"/>
    <col min="8" max="8" width="27.1796875" style="1" bestFit="1" customWidth="1"/>
    <col min="9" max="9" width="21.6328125" style="21" bestFit="1" customWidth="1"/>
    <col min="10" max="10" width="9.81640625" style="1" bestFit="1" customWidth="1"/>
    <col min="11" max="11" width="23.1796875" style="1" bestFit="1" customWidth="1"/>
    <col min="12" max="12" width="10.6328125" style="8" hidden="1" customWidth="1"/>
    <col min="13" max="13" width="18.36328125" style="1" hidden="1" customWidth="1"/>
    <col min="14" max="14" width="14.81640625" style="1" bestFit="1" customWidth="1"/>
    <col min="15" max="15" width="18" style="1" bestFit="1" customWidth="1"/>
    <col min="16" max="21" width="4" style="1" customWidth="1"/>
    <col min="22" max="22" width="19.453125" style="1" customWidth="1"/>
    <col min="23" max="23" width="4" style="1" customWidth="1"/>
    <col min="24" max="24" width="4.1796875" style="1" bestFit="1" customWidth="1"/>
    <col min="25" max="25" width="6.453125" style="1" bestFit="1" customWidth="1"/>
    <col min="26" max="26" width="27.1796875" style="1" bestFit="1" customWidth="1"/>
    <col min="27" max="16384" width="9.1796875" style="1"/>
  </cols>
  <sheetData>
    <row r="2" spans="1:26" x14ac:dyDescent="0.45">
      <c r="D2" s="13">
        <f ca="1">NOW()</f>
        <v>46112.538983796294</v>
      </c>
      <c r="H2" s="2"/>
      <c r="I2" s="23" t="s">
        <v>29</v>
      </c>
      <c r="J2" s="24"/>
      <c r="K2" s="25"/>
      <c r="L2" s="3"/>
      <c r="M2" s="2"/>
      <c r="N2" s="26" t="s">
        <v>32</v>
      </c>
      <c r="O2" s="27"/>
      <c r="P2" s="40" t="s">
        <v>3</v>
      </c>
      <c r="Q2" s="40"/>
      <c r="R2" s="40"/>
      <c r="S2" s="40"/>
      <c r="T2" s="40"/>
      <c r="U2" s="40"/>
    </row>
    <row r="3" spans="1:26" x14ac:dyDescent="0.45">
      <c r="D3" s="14" t="s">
        <v>0</v>
      </c>
      <c r="E3" s="15" t="s">
        <v>20</v>
      </c>
      <c r="F3" s="16" t="s">
        <v>1</v>
      </c>
      <c r="G3" s="16" t="s">
        <v>25</v>
      </c>
      <c r="H3" s="16" t="s">
        <v>2</v>
      </c>
      <c r="I3" s="20" t="s">
        <v>16</v>
      </c>
      <c r="J3" s="16" t="s">
        <v>30</v>
      </c>
      <c r="K3" s="16" t="s">
        <v>31</v>
      </c>
      <c r="L3" s="17" t="s">
        <v>12</v>
      </c>
      <c r="M3" s="16" t="s">
        <v>9</v>
      </c>
      <c r="N3" s="16" t="s">
        <v>33</v>
      </c>
      <c r="O3" s="16" t="s">
        <v>34</v>
      </c>
      <c r="P3" s="16"/>
      <c r="Q3" s="16"/>
      <c r="R3" s="16"/>
      <c r="S3" s="16"/>
      <c r="T3" s="16"/>
      <c r="U3" s="16"/>
      <c r="V3" s="16" t="s">
        <v>4</v>
      </c>
    </row>
    <row r="4" spans="1:26" x14ac:dyDescent="0.45">
      <c r="A4" s="28" t="s">
        <v>10</v>
      </c>
      <c r="B4" s="29"/>
      <c r="C4" s="30"/>
      <c r="D4" s="37" t="s">
        <v>41</v>
      </c>
      <c r="E4" s="11">
        <v>1</v>
      </c>
      <c r="F4" s="4" t="s">
        <v>21</v>
      </c>
      <c r="G4" s="9"/>
      <c r="H4" s="9"/>
      <c r="I4" s="22"/>
      <c r="J4" s="9"/>
      <c r="K4" s="9"/>
      <c r="L4" s="5"/>
      <c r="M4" s="4"/>
      <c r="N4" s="6"/>
      <c r="O4" s="5"/>
      <c r="P4" s="7"/>
      <c r="Q4" s="7"/>
      <c r="R4" s="7"/>
      <c r="S4" s="4"/>
      <c r="T4" s="4"/>
      <c r="U4" s="4"/>
      <c r="V4" s="4"/>
      <c r="X4" s="5">
        <v>1</v>
      </c>
      <c r="Y4" s="4" t="s">
        <v>22</v>
      </c>
      <c r="Z4" s="4" t="s">
        <v>28</v>
      </c>
    </row>
    <row r="5" spans="1:26" x14ac:dyDescent="0.45">
      <c r="A5" s="31"/>
      <c r="B5" s="32"/>
      <c r="C5" s="33"/>
      <c r="D5" s="38"/>
      <c r="E5" s="11">
        <v>2</v>
      </c>
      <c r="F5" s="4" t="s">
        <v>22</v>
      </c>
      <c r="G5" s="9"/>
      <c r="H5" s="9"/>
      <c r="I5" s="22"/>
      <c r="J5" s="4"/>
      <c r="K5" s="22"/>
      <c r="L5" s="5"/>
      <c r="M5" s="4"/>
      <c r="N5" s="6"/>
      <c r="O5" s="5"/>
      <c r="P5" s="4"/>
      <c r="Q5" s="4"/>
      <c r="R5" s="4"/>
      <c r="S5" s="4"/>
      <c r="T5" s="4"/>
      <c r="U5" s="4"/>
      <c r="V5" s="4"/>
      <c r="X5" s="5">
        <v>2</v>
      </c>
      <c r="Y5" s="4" t="s">
        <v>22</v>
      </c>
      <c r="Z5" s="4" t="s">
        <v>40</v>
      </c>
    </row>
    <row r="6" spans="1:26" x14ac:dyDescent="0.45">
      <c r="A6" s="31"/>
      <c r="B6" s="32"/>
      <c r="C6" s="33"/>
      <c r="D6" s="38"/>
      <c r="E6" s="11">
        <v>3</v>
      </c>
      <c r="F6" s="4" t="s">
        <v>22</v>
      </c>
      <c r="G6" s="9"/>
      <c r="H6" s="9"/>
      <c r="I6" s="22"/>
      <c r="J6" s="4"/>
      <c r="K6" s="4"/>
      <c r="L6" s="5"/>
      <c r="M6" s="4"/>
      <c r="N6" s="6"/>
      <c r="O6" s="5"/>
      <c r="P6" s="4"/>
      <c r="Q6" s="4"/>
      <c r="R6" s="4"/>
      <c r="S6" s="4"/>
      <c r="T6" s="4"/>
      <c r="U6" s="4"/>
      <c r="V6" s="4"/>
      <c r="X6" s="5">
        <v>3</v>
      </c>
      <c r="Y6" s="4" t="s">
        <v>22</v>
      </c>
      <c r="Z6" s="4" t="s">
        <v>7</v>
      </c>
    </row>
    <row r="7" spans="1:26" x14ac:dyDescent="0.45">
      <c r="A7" s="31"/>
      <c r="B7" s="32"/>
      <c r="C7" s="33"/>
      <c r="D7" s="38"/>
      <c r="E7" s="11">
        <v>4</v>
      </c>
      <c r="F7" s="4" t="s">
        <v>22</v>
      </c>
      <c r="G7" s="4"/>
      <c r="H7" s="4"/>
      <c r="I7" s="18"/>
      <c r="J7" s="4"/>
      <c r="K7" s="4"/>
      <c r="L7" s="5"/>
      <c r="M7" s="4"/>
      <c r="N7" s="6"/>
      <c r="O7" s="5"/>
      <c r="P7" s="4"/>
      <c r="Q7" s="4"/>
      <c r="R7" s="4"/>
      <c r="S7" s="4"/>
      <c r="T7" s="4"/>
      <c r="U7" s="4"/>
      <c r="V7" s="4"/>
      <c r="X7" s="5">
        <v>4</v>
      </c>
      <c r="Y7" s="4" t="s">
        <v>22</v>
      </c>
      <c r="Z7" s="4" t="s">
        <v>6</v>
      </c>
    </row>
    <row r="8" spans="1:26" x14ac:dyDescent="0.45">
      <c r="A8" s="31"/>
      <c r="B8" s="32"/>
      <c r="C8" s="33"/>
      <c r="D8" s="38"/>
      <c r="E8" s="11">
        <v>5</v>
      </c>
      <c r="F8" s="4" t="s">
        <v>22</v>
      </c>
      <c r="G8" s="4"/>
      <c r="H8" s="4"/>
      <c r="I8" s="18"/>
      <c r="J8" s="4"/>
      <c r="K8" s="4"/>
      <c r="L8" s="5"/>
      <c r="M8" s="4"/>
      <c r="N8" s="4"/>
      <c r="O8" s="5"/>
      <c r="P8" s="4"/>
      <c r="Q8" s="4"/>
      <c r="R8" s="4"/>
      <c r="S8" s="4"/>
      <c r="T8" s="4"/>
      <c r="U8" s="4"/>
      <c r="V8" s="4"/>
      <c r="X8" s="5">
        <v>5</v>
      </c>
      <c r="Y8" s="4" t="s">
        <v>22</v>
      </c>
      <c r="Z8" s="4" t="s">
        <v>35</v>
      </c>
    </row>
    <row r="9" spans="1:26" x14ac:dyDescent="0.45">
      <c r="A9" s="31"/>
      <c r="B9" s="32"/>
      <c r="C9" s="33"/>
      <c r="D9" s="38"/>
      <c r="E9" s="11">
        <v>6</v>
      </c>
      <c r="F9" s="4" t="s">
        <v>22</v>
      </c>
      <c r="G9" s="4"/>
      <c r="H9" s="4"/>
      <c r="I9" s="18"/>
      <c r="J9" s="4"/>
      <c r="K9" s="4"/>
      <c r="L9" s="5"/>
      <c r="M9" s="4"/>
      <c r="N9" s="4"/>
      <c r="O9" s="5"/>
      <c r="P9" s="4"/>
      <c r="Q9" s="4"/>
      <c r="R9" s="4"/>
      <c r="S9" s="4"/>
      <c r="T9" s="4"/>
      <c r="U9" s="4"/>
      <c r="V9" s="4"/>
      <c r="X9" s="5">
        <v>6</v>
      </c>
      <c r="Y9" s="4" t="s">
        <v>22</v>
      </c>
      <c r="Z9" s="4" t="s">
        <v>8</v>
      </c>
    </row>
    <row r="10" spans="1:26" x14ac:dyDescent="0.45">
      <c r="A10" s="31"/>
      <c r="B10" s="32"/>
      <c r="C10" s="33"/>
      <c r="D10" s="38"/>
      <c r="E10" s="11">
        <v>7</v>
      </c>
      <c r="F10" s="4" t="s">
        <v>5</v>
      </c>
      <c r="G10" s="4"/>
      <c r="H10" s="4"/>
      <c r="I10" s="18"/>
      <c r="J10" s="4"/>
      <c r="K10" s="4"/>
      <c r="L10" s="5"/>
      <c r="M10" s="4"/>
      <c r="N10" s="4"/>
      <c r="O10" s="5"/>
      <c r="P10" s="4"/>
      <c r="Q10" s="4"/>
      <c r="R10" s="4"/>
      <c r="S10" s="4"/>
      <c r="T10" s="4"/>
      <c r="U10" s="4"/>
      <c r="V10" s="4"/>
      <c r="X10" s="5">
        <v>7</v>
      </c>
      <c r="Y10" s="4" t="s">
        <v>5</v>
      </c>
      <c r="Z10" s="4" t="s">
        <v>39</v>
      </c>
    </row>
    <row r="11" spans="1:26" x14ac:dyDescent="0.45">
      <c r="A11" s="31"/>
      <c r="B11" s="32"/>
      <c r="C11" s="33"/>
      <c r="D11" s="38"/>
      <c r="E11" s="11">
        <v>8</v>
      </c>
      <c r="F11" s="4" t="s">
        <v>22</v>
      </c>
      <c r="G11" s="4"/>
      <c r="H11" s="4"/>
      <c r="I11" s="18"/>
      <c r="J11" s="4"/>
      <c r="K11" s="4"/>
      <c r="L11" s="5"/>
      <c r="M11" s="4"/>
      <c r="N11" s="4"/>
      <c r="O11" s="5"/>
      <c r="P11" s="4"/>
      <c r="Q11" s="4"/>
      <c r="R11" s="4"/>
      <c r="S11" s="4"/>
      <c r="T11" s="4"/>
      <c r="U11" s="4"/>
      <c r="V11" s="4"/>
      <c r="X11" s="5">
        <v>8</v>
      </c>
      <c r="Y11" s="4" t="s">
        <v>22</v>
      </c>
      <c r="Z11" s="4" t="s">
        <v>38</v>
      </c>
    </row>
    <row r="12" spans="1:26" x14ac:dyDescent="0.45">
      <c r="A12" s="31"/>
      <c r="B12" s="32"/>
      <c r="C12" s="33"/>
      <c r="D12" s="38"/>
      <c r="E12" s="11">
        <v>9</v>
      </c>
      <c r="F12" s="4" t="s">
        <v>22</v>
      </c>
      <c r="G12" s="9"/>
      <c r="H12" s="9"/>
      <c r="I12" s="22"/>
      <c r="J12" s="4"/>
      <c r="K12" s="4"/>
      <c r="L12" s="5"/>
      <c r="M12" s="4"/>
      <c r="N12" s="4"/>
      <c r="O12" s="5"/>
      <c r="P12" s="4"/>
      <c r="Q12" s="4"/>
      <c r="R12" s="4"/>
      <c r="S12" s="4"/>
      <c r="T12" s="4"/>
      <c r="U12" s="4"/>
      <c r="V12" s="4"/>
      <c r="X12" s="5">
        <v>9</v>
      </c>
      <c r="Y12" s="4" t="s">
        <v>22</v>
      </c>
      <c r="Z12" s="4" t="s">
        <v>17</v>
      </c>
    </row>
    <row r="13" spans="1:26" x14ac:dyDescent="0.45">
      <c r="A13" s="31"/>
      <c r="B13" s="32"/>
      <c r="C13" s="33"/>
      <c r="D13" s="38"/>
      <c r="E13" s="11">
        <v>10</v>
      </c>
      <c r="F13" s="4" t="s">
        <v>21</v>
      </c>
      <c r="G13" s="9"/>
      <c r="H13" s="9"/>
      <c r="I13" s="22"/>
      <c r="J13" s="4"/>
      <c r="K13" s="4"/>
      <c r="L13" s="5"/>
      <c r="M13" s="4"/>
      <c r="N13" s="4"/>
      <c r="O13" s="5"/>
      <c r="P13" s="4"/>
      <c r="Q13" s="4"/>
      <c r="R13" s="4"/>
      <c r="S13" s="4"/>
      <c r="T13" s="4"/>
      <c r="U13" s="4"/>
      <c r="V13" s="4"/>
      <c r="X13" s="5">
        <v>10</v>
      </c>
      <c r="Y13" s="4" t="s">
        <v>22</v>
      </c>
      <c r="Z13" s="4" t="s">
        <v>37</v>
      </c>
    </row>
    <row r="14" spans="1:26" x14ac:dyDescent="0.45">
      <c r="A14" s="31"/>
      <c r="B14" s="32"/>
      <c r="C14" s="33"/>
      <c r="D14" s="38"/>
      <c r="E14" s="11">
        <v>11</v>
      </c>
      <c r="F14" s="4" t="s">
        <v>22</v>
      </c>
      <c r="G14" s="4"/>
      <c r="H14" s="4"/>
      <c r="I14" s="18"/>
      <c r="J14" s="4"/>
      <c r="K14" s="4"/>
      <c r="L14" s="5"/>
      <c r="M14" s="4"/>
      <c r="N14" s="6"/>
      <c r="O14" s="5"/>
      <c r="P14" s="4"/>
      <c r="Q14" s="4"/>
      <c r="R14" s="4"/>
      <c r="S14" s="4"/>
      <c r="T14" s="4"/>
      <c r="U14" s="4"/>
      <c r="V14" s="4"/>
      <c r="X14" s="5">
        <v>11</v>
      </c>
      <c r="Y14" s="4" t="s">
        <v>22</v>
      </c>
      <c r="Z14" s="4" t="s">
        <v>23</v>
      </c>
    </row>
    <row r="15" spans="1:26" x14ac:dyDescent="0.45">
      <c r="A15" s="31"/>
      <c r="B15" s="32"/>
      <c r="C15" s="33"/>
      <c r="D15" s="38"/>
      <c r="E15" s="11">
        <v>12</v>
      </c>
      <c r="F15" s="4" t="s">
        <v>5</v>
      </c>
      <c r="G15" s="4"/>
      <c r="H15" s="4"/>
      <c r="I15" s="18"/>
      <c r="J15" s="4"/>
      <c r="K15" s="4"/>
      <c r="L15" s="5"/>
      <c r="M15" s="4"/>
      <c r="N15" s="6"/>
      <c r="O15" s="5"/>
      <c r="P15" s="4"/>
      <c r="Q15" s="4"/>
      <c r="R15" s="4"/>
      <c r="S15" s="4"/>
      <c r="T15" s="4"/>
      <c r="U15" s="4"/>
      <c r="V15" s="4"/>
      <c r="X15" s="5">
        <v>12</v>
      </c>
      <c r="Y15" s="4" t="s">
        <v>5</v>
      </c>
      <c r="Z15" s="4" t="s">
        <v>11</v>
      </c>
    </row>
    <row r="16" spans="1:26" x14ac:dyDescent="0.45">
      <c r="A16" s="31"/>
      <c r="B16" s="32"/>
      <c r="C16" s="33"/>
      <c r="D16" s="38"/>
      <c r="E16" s="11">
        <v>13</v>
      </c>
      <c r="F16" s="4" t="s">
        <v>22</v>
      </c>
      <c r="G16" s="9"/>
      <c r="H16" s="9"/>
      <c r="I16" s="22"/>
      <c r="J16" s="4"/>
      <c r="K16" s="4"/>
      <c r="L16" s="5"/>
      <c r="M16" s="4"/>
      <c r="N16" s="4"/>
      <c r="O16" s="5"/>
      <c r="P16" s="4"/>
      <c r="Q16" s="4"/>
      <c r="R16" s="4"/>
      <c r="S16" s="4"/>
      <c r="T16" s="4"/>
      <c r="U16" s="4"/>
      <c r="V16" s="4"/>
      <c r="X16" s="5">
        <v>13</v>
      </c>
      <c r="Y16" s="4" t="s">
        <v>22</v>
      </c>
      <c r="Z16" s="4" t="s">
        <v>13</v>
      </c>
    </row>
    <row r="17" spans="1:27" x14ac:dyDescent="0.45">
      <c r="A17" s="31"/>
      <c r="B17" s="32"/>
      <c r="C17" s="33"/>
      <c r="D17" s="38"/>
      <c r="E17" s="11">
        <v>14</v>
      </c>
      <c r="F17" s="4" t="s">
        <v>14</v>
      </c>
      <c r="G17" s="4"/>
      <c r="H17" s="4"/>
      <c r="I17" s="18"/>
      <c r="J17" s="4"/>
      <c r="K17" s="4"/>
      <c r="L17" s="5"/>
      <c r="M17" s="4"/>
      <c r="N17" s="4"/>
      <c r="O17" s="5"/>
      <c r="P17" s="4"/>
      <c r="Q17" s="4"/>
      <c r="R17" s="4"/>
      <c r="S17" s="4"/>
      <c r="T17" s="4"/>
      <c r="U17" s="4"/>
      <c r="V17" s="4"/>
      <c r="X17" s="5">
        <v>14</v>
      </c>
      <c r="Y17" s="4" t="s">
        <v>14</v>
      </c>
      <c r="Z17" s="4" t="s">
        <v>15</v>
      </c>
    </row>
    <row r="18" spans="1:27" x14ac:dyDescent="0.45">
      <c r="A18" s="31"/>
      <c r="B18" s="32"/>
      <c r="C18" s="33"/>
      <c r="D18" s="38"/>
      <c r="E18" s="11">
        <v>15</v>
      </c>
      <c r="F18" s="4" t="s">
        <v>22</v>
      </c>
      <c r="G18" s="9"/>
      <c r="H18" s="9"/>
      <c r="I18" s="22"/>
      <c r="J18" s="4"/>
      <c r="K18" s="4"/>
      <c r="L18" s="5"/>
      <c r="M18" s="4"/>
      <c r="N18" s="6"/>
      <c r="O18" s="5"/>
      <c r="P18" s="4"/>
      <c r="Q18" s="4"/>
      <c r="R18" s="4"/>
      <c r="S18" s="4"/>
      <c r="T18" s="4"/>
      <c r="U18" s="4"/>
      <c r="V18" s="4"/>
      <c r="X18" s="5">
        <v>15</v>
      </c>
      <c r="Y18" s="4" t="s">
        <v>22</v>
      </c>
      <c r="Z18" s="4" t="s">
        <v>18</v>
      </c>
    </row>
    <row r="19" spans="1:27" x14ac:dyDescent="0.45">
      <c r="A19" s="31"/>
      <c r="B19" s="32"/>
      <c r="C19" s="33"/>
      <c r="D19" s="38"/>
      <c r="E19" s="11">
        <v>16</v>
      </c>
      <c r="F19" s="4" t="s">
        <v>22</v>
      </c>
      <c r="G19" s="4"/>
      <c r="H19" s="4"/>
      <c r="I19" s="18"/>
      <c r="J19" s="4"/>
      <c r="K19" s="4"/>
      <c r="L19" s="5"/>
      <c r="M19" s="4"/>
      <c r="N19" s="4"/>
      <c r="O19" s="5"/>
      <c r="P19" s="4"/>
      <c r="Q19" s="4"/>
      <c r="R19" s="4"/>
      <c r="S19" s="4"/>
      <c r="T19" s="4"/>
      <c r="U19" s="4"/>
      <c r="V19" s="4"/>
      <c r="X19" s="5">
        <v>16</v>
      </c>
      <c r="Y19" s="4" t="s">
        <v>22</v>
      </c>
      <c r="Z19" s="4" t="s">
        <v>19</v>
      </c>
    </row>
    <row r="20" spans="1:27" x14ac:dyDescent="0.45">
      <c r="A20" s="31"/>
      <c r="B20" s="32"/>
      <c r="C20" s="33"/>
      <c r="D20" s="38"/>
      <c r="E20" s="11">
        <v>17</v>
      </c>
      <c r="F20" s="4" t="s">
        <v>5</v>
      </c>
      <c r="G20" s="4"/>
      <c r="H20" s="4"/>
      <c r="I20" s="18"/>
      <c r="J20" s="4"/>
      <c r="K20" s="4"/>
      <c r="L20" s="5"/>
      <c r="M20" s="4"/>
      <c r="N20" s="4"/>
      <c r="O20" s="5"/>
      <c r="P20" s="4"/>
      <c r="Q20" s="4"/>
      <c r="R20" s="4"/>
      <c r="S20" s="4"/>
      <c r="T20" s="4"/>
      <c r="U20" s="4"/>
      <c r="V20" s="4"/>
      <c r="X20" s="5">
        <v>17</v>
      </c>
      <c r="Y20" s="4" t="s">
        <v>5</v>
      </c>
      <c r="Z20" s="4" t="s">
        <v>26</v>
      </c>
    </row>
    <row r="21" spans="1:27" x14ac:dyDescent="0.45">
      <c r="A21" s="31"/>
      <c r="B21" s="32"/>
      <c r="C21" s="33"/>
      <c r="D21" s="38"/>
      <c r="E21" s="11">
        <v>18</v>
      </c>
      <c r="F21" s="4" t="s">
        <v>5</v>
      </c>
      <c r="G21" s="4"/>
      <c r="H21" s="4"/>
      <c r="I21" s="18"/>
      <c r="J21" s="4"/>
      <c r="K21" s="4"/>
      <c r="L21" s="5"/>
      <c r="M21" s="4"/>
      <c r="N21" s="4"/>
      <c r="O21" s="5"/>
      <c r="P21" s="4"/>
      <c r="Q21" s="4"/>
      <c r="R21" s="4"/>
      <c r="S21" s="4"/>
      <c r="T21" s="4"/>
      <c r="U21" s="4"/>
      <c r="V21" s="4"/>
      <c r="X21" s="5">
        <v>18</v>
      </c>
      <c r="Y21" s="4" t="s">
        <v>5</v>
      </c>
      <c r="Z21" s="4" t="s">
        <v>27</v>
      </c>
    </row>
    <row r="22" spans="1:27" x14ac:dyDescent="0.45">
      <c r="A22" s="31"/>
      <c r="B22" s="32"/>
      <c r="C22" s="33"/>
      <c r="D22" s="38"/>
      <c r="E22" s="11">
        <v>19</v>
      </c>
      <c r="F22" s="4" t="s">
        <v>5</v>
      </c>
      <c r="G22" s="4"/>
      <c r="H22" s="4"/>
      <c r="I22" s="18"/>
      <c r="J22" s="4"/>
      <c r="K22" s="4"/>
      <c r="L22" s="5"/>
      <c r="M22" s="4"/>
      <c r="N22" s="4"/>
      <c r="O22" s="5"/>
      <c r="P22" s="4"/>
      <c r="Q22" s="4"/>
      <c r="R22" s="4"/>
      <c r="S22" s="4"/>
      <c r="T22" s="4"/>
      <c r="U22" s="4"/>
      <c r="V22" s="4"/>
      <c r="X22" s="5">
        <v>19</v>
      </c>
      <c r="Y22" s="4" t="s">
        <v>5</v>
      </c>
      <c r="Z22" s="4" t="s">
        <v>36</v>
      </c>
      <c r="AA22" s="12"/>
    </row>
    <row r="23" spans="1:27" x14ac:dyDescent="0.45">
      <c r="A23" s="34"/>
      <c r="B23" s="35"/>
      <c r="C23" s="36"/>
      <c r="D23" s="39"/>
      <c r="E23" s="41" t="s">
        <v>24</v>
      </c>
      <c r="F23" s="42"/>
      <c r="G23" s="19">
        <f>COUNTIF(G4:G22,"X")</f>
        <v>0</v>
      </c>
      <c r="H23" s="4"/>
      <c r="I23" s="18"/>
      <c r="J23" s="4"/>
      <c r="K23" s="4"/>
      <c r="L23" s="5">
        <f>SUM(L4:L22)</f>
        <v>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8"/>
    </row>
  </sheetData>
  <autoFilter ref="D3:V23"/>
  <mergeCells count="6">
    <mergeCell ref="I2:K2"/>
    <mergeCell ref="N2:O2"/>
    <mergeCell ref="A4:C23"/>
    <mergeCell ref="D4:D23"/>
    <mergeCell ref="P2:U2"/>
    <mergeCell ref="E23:F23"/>
  </mergeCells>
  <conditionalFormatting sqref="N1:N1048576">
    <cfRule type="colorScale" priority="1">
      <colorScale>
        <cfvo type="min"/>
        <cfvo type="max"/>
        <color rgb="FFFF0000"/>
        <color rgb="FFFFEF9C"/>
      </colorScale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2026-03-31T09:56:12Z</dcterms:modified>
</cp:coreProperties>
</file>